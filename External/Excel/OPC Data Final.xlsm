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8bc11945b747f49/Desktop/"/>
    </mc:Choice>
  </mc:AlternateContent>
  <xr:revisionPtr revIDLastSave="47146" documentId="13_ncr:1_{0DB1D2CC-CB4C-49A4-95CE-FA1E1BE07932}" xr6:coauthVersionLast="47" xr6:coauthVersionMax="47" xr10:uidLastSave="{432CAA41-C59E-4C46-AAF9-B2D46A38C6A2}"/>
  <bookViews>
    <workbookView xWindow="-120" yWindow="-120" windowWidth="29040" windowHeight="15840" xr2:uid="{462159A1-A7D1-4E3A-97E7-27F237E3435E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 a="1"/>
  <c r="F3" i="1" s="1"/>
  <c r="F12" i="1" a="1"/>
  <c r="F12" i="1" s="1"/>
  <c r="F6" i="1" a="1"/>
  <c r="F6" i="1" s="1"/>
  <c r="F5" i="1" a="1"/>
  <c r="F5" i="1" s="1"/>
  <c r="F14" i="1" a="1"/>
  <c r="F14" i="1" s="1"/>
  <c r="F15" i="1" a="1"/>
  <c r="F15" i="1" s="1"/>
  <c r="F4" i="1" a="1"/>
  <c r="F4" i="1" s="1"/>
  <c r="F13" i="1" a="1"/>
  <c r="F13" i="1" s="1"/>
  <c r="F11" i="1" a="1"/>
  <c r="F11" i="1" s="1"/>
  <c r="F2" i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<sst xmlns="http://schemas.openxmlformats.org/spreadsheetml/2006/main" count="58" uniqueCount="35">
  <si>
    <t>Value</t>
  </si>
  <si>
    <t>Right Speed</t>
  </si>
  <si>
    <t>Right Accel</t>
  </si>
  <si>
    <t>Right Position</t>
  </si>
  <si>
    <t>Right Go</t>
  </si>
  <si>
    <t>Left Speed</t>
  </si>
  <si>
    <t>Left Accel</t>
  </si>
  <si>
    <t>Left Position</t>
  </si>
  <si>
    <t>Left Go</t>
  </si>
  <si>
    <t>Right Stop</t>
  </si>
  <si>
    <t>Right Home</t>
  </si>
  <si>
    <t>Right Reset</t>
  </si>
  <si>
    <t>Left Stop</t>
  </si>
  <si>
    <t>Left Home</t>
  </si>
  <si>
    <t>Left Reset</t>
  </si>
  <si>
    <t>Tags to Write</t>
  </si>
  <si>
    <t>Tags to Read</t>
  </si>
  <si>
    <t>Range</t>
  </si>
  <si>
    <t>Bool</t>
  </si>
  <si>
    <t>Units</t>
  </si>
  <si>
    <t>0.01 mm/sec</t>
  </si>
  <si>
    <t>0.01 mm</t>
  </si>
  <si>
    <t>0.01 mm/sec2</t>
  </si>
  <si>
    <t>Position</t>
  </si>
  <si>
    <t>Faulted</t>
  </si>
  <si>
    <t>Error Code</t>
  </si>
  <si>
    <t>Left ON</t>
  </si>
  <si>
    <t>Left OFF</t>
  </si>
  <si>
    <t>Right ON</t>
  </si>
  <si>
    <t>Right OFF</t>
  </si>
  <si>
    <t>Servo ON</t>
  </si>
  <si>
    <t>Servo Ready</t>
  </si>
  <si>
    <t>1 - 30,000</t>
  </si>
  <si>
    <t>500 - 90,000</t>
  </si>
  <si>
    <t>-25,000 - 0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</si>
</sst>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</xdr:row>
          <xdr:rowOff>38100</xdr:rowOff>
        </xdr:from>
        <xdr:to>
          <xdr:col>11</xdr:col>
          <xdr:colOff>200025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66675</xdr:rowOff>
        </xdr:from>
        <xdr:to>
          <xdr:col>11</xdr:col>
          <xdr:colOff>209550</xdr:colOff>
          <xdr:row>15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5069-L340ERM/A">
    <ddeItems>
      <ddeItem name="K5100_Left_Motor.Sts_Error_Code,L1,C1" advise="1">
        <values>
          <value>
            <val>0</val>
          </value>
        </values>
      </ddeItem>
      <ddeItem name="K5100_Right_Motor.Sts_Error_Code,L1,C1" advise="1">
        <values>
          <value>
            <val>0</val>
          </value>
        </values>
      </ddeItem>
      <ddeItem name="Program:Left_Motor_Program._Left_Motor.Sts_Active,L1,C1" advise="1">
        <values>
          <value>
            <val>0</val>
          </value>
        </values>
      </ddeItem>
      <ddeItem name="Program:Left_Motor_Program._Left_Motor.Sts_Faulted,L1,C1" advise="1">
        <values>
          <value>
            <val>1</val>
          </value>
        </values>
      </ddeItem>
      <ddeItem name="Program:Left_Motor_Program._Left_Motor.Sts_Ready,L1,C1" advise="1">
        <values>
          <value>
            <val>0</val>
          </value>
        </values>
      </ddeItem>
      <ddeItem name="Program:Left_Motor_Program._Left_Motor.Val_ActualPosition,L1,C1" advise="1">
        <values>
          <value>
            <val>-12754</val>
          </value>
        </values>
      </ddeItem>
      <ddeItem name="Program:Right_Motor_Program._Right_Motor.Sts_Active,L1,C1" advise="1">
        <values>
          <value>
            <val>1</val>
          </value>
        </values>
      </ddeItem>
      <ddeItem name="Program:Right_Motor_Program._Right_Motor.Sts_Faulted,L1,C1" advise="1">
        <values>
          <value>
            <val>0</val>
          </value>
        </values>
      </ddeItem>
      <ddeItem name="Program:Right_Motor_Program._Right_Motor.Sts_Ready,L1,C1" advise="1">
        <values>
          <value>
            <val>1</val>
          </value>
        </values>
      </ddeItem>
      <ddeItem name="Program:Right_Motor_Program._Right_Motor.Val_ActualPosition,L1,C1" advise="1">
        <values>
          <value>
            <val>-6706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83B99-BA0E-4EB2-BD6A-31389E9E848B}">
  <sheetPr codeName="Sheet1"/>
  <dimension ref="A1:F19"/>
  <sheetViews>
    <sheetView tabSelected="1" workbookViewId="0">
      <selection activeCell="B15" sqref="B15"/>
    </sheetView>
  </sheetViews>
  <sheetFormatPr defaultRowHeight="15" x14ac:dyDescent="0.25"/>
  <cols>
    <col min="1" max="1" width="13.85546875" customWidth="1"/>
    <col min="2" max="2" width="17.7109375" customWidth="1"/>
    <col min="3" max="4" width="21.5703125" style="1" customWidth="1"/>
    <col min="5" max="5" width="14.140625" customWidth="1"/>
    <col min="13" max="13" width="15.140625" bestFit="1" customWidth="1"/>
  </cols>
  <sheetData>
    <row r="1" spans="1:6" x14ac:dyDescent="0.25">
      <c r="A1" t="s">
        <v>15</v>
      </c>
      <c r="B1" t="s">
        <v>0</v>
      </c>
      <c r="C1" s="1" t="s">
        <v>17</v>
      </c>
      <c r="D1" s="1" t="s">
        <v>19</v>
      </c>
      <c r="E1" t="s">
        <v>16</v>
      </c>
      <c r="F1" t="s">
        <v>0</v>
      </c>
    </row>
    <row r="2" spans="1:6" x14ac:dyDescent="0.25">
      <c r="A2" t="s">
        <v>1</v>
      </c>
      <c r="B2">
        <v>30000</v>
      </c>
      <c r="C2" s="2" t="s">
        <v>32</v>
      </c>
      <c r="D2" s="1" t="s">
        <v>20</v>
      </c>
      <c r="E2" t="s">
        <v>23</v>
      </c>
      <c r="F2">
        <f t="array" ref="F2">[1]!'Program:Right_Motor_Program._Right_Motor.Val_ActualPosition,L1,C1'</f>
        <v>-6706</v>
      </c>
    </row>
    <row r="3" spans="1:6" x14ac:dyDescent="0.25">
      <c r="A3" t="s">
        <v>2</v>
      </c>
      <c r="B3">
        <v>90000</v>
      </c>
      <c r="C3" s="1" t="s">
        <v>33</v>
      </c>
      <c r="D3" s="1" t="s">
        <v>22</v>
      </c>
      <c r="E3" t="s">
        <v>24</v>
      </c>
      <c r="F3" cm="1">
        <f t="array" ref="F3">[1]!'Program:Right_Motor_Program._Right_Motor.Sts_Faulted,L1,C1'</f>
        <v>0</v>
      </c>
    </row>
    <row r="4" spans="1:6" x14ac:dyDescent="0.25">
      <c r="A4" t="s">
        <v>3</v>
      </c>
      <c r="B4">
        <v>-5801.0125697166386</v>
      </c>
      <c r="C4" s="2" t="s">
        <v>34</v>
      </c>
      <c r="D4" s="2" t="s">
        <v>21</v>
      </c>
      <c r="E4" t="s">
        <v>25</v>
      </c>
      <c r="F4">
        <f t="array" ref="F4">[1]!'K5100_Right_Motor.Sts_Error_Code,L1,C1'</f>
        <v>0</v>
      </c>
    </row>
    <row r="5" spans="1:6" x14ac:dyDescent="0.25">
      <c r="A5" t="s">
        <v>4</v>
      </c>
      <c r="B5">
        <v>1</v>
      </c>
      <c r="C5" s="1" t="s">
        <v>18</v>
      </c>
      <c r="E5" t="s">
        <v>30</v>
      </c>
      <c r="F5" cm="1">
        <f t="array" ref="F5">[1]!'Program:Right_Motor_Program._Right_Motor.Sts_Active,L1,C1'</f>
        <v>1</v>
      </c>
    </row>
    <row r="6" spans="1:6" x14ac:dyDescent="0.25">
      <c r="A6" t="s">
        <v>28</v>
      </c>
      <c r="B6">
        <v>0</v>
      </c>
      <c r="C6" s="1" t="s">
        <v>18</v>
      </c>
      <c r="E6" t="s">
        <v>31</v>
      </c>
      <c r="F6" cm="1">
        <f t="array" ref="F6">[1]!'Program:Right_Motor_Program._Right_Motor.Sts_Ready,L1,C1'</f>
        <v>1</v>
      </c>
    </row>
    <row r="7" spans="1:6" x14ac:dyDescent="0.25">
      <c r="A7" t="s">
        <v>29</v>
      </c>
      <c r="B7">
        <v>0</v>
      </c>
      <c r="C7" s="1" t="s">
        <v>18</v>
      </c>
    </row>
    <row r="8" spans="1:6" x14ac:dyDescent="0.25">
      <c r="A8" t="s">
        <v>9</v>
      </c>
      <c r="B8">
        <v>0</v>
      </c>
      <c r="C8" s="1" t="s">
        <v>18</v>
      </c>
    </row>
    <row r="9" spans="1:6" x14ac:dyDescent="0.25">
      <c r="A9" t="s">
        <v>10</v>
      </c>
      <c r="B9">
        <v>0</v>
      </c>
      <c r="C9" s="1" t="s">
        <v>18</v>
      </c>
    </row>
    <row r="10" spans="1:6" x14ac:dyDescent="0.25">
      <c r="A10" t="s">
        <v>11</v>
      </c>
      <c r="B10">
        <v>0</v>
      </c>
      <c r="C10" s="1" t="s">
        <v>18</v>
      </c>
    </row>
    <row r="11" spans="1:6" x14ac:dyDescent="0.25">
      <c r="A11" s="3" t="s">
        <v>5</v>
      </c>
      <c r="B11" s="3">
        <v>30000</v>
      </c>
      <c r="C11" s="4" t="s">
        <v>32</v>
      </c>
      <c r="D11" s="4" t="s">
        <v>20</v>
      </c>
      <c r="E11" s="3" t="s">
        <v>23</v>
      </c>
      <c r="F11" s="3">
        <f t="array" ref="F11">[1]!'Program:Left_Motor_Program._Left_Motor.Val_ActualPosition,L1,C1'</f>
        <v>-12754</v>
      </c>
    </row>
    <row r="12" spans="1:6" x14ac:dyDescent="0.25">
      <c r="A12" t="s">
        <v>6</v>
      </c>
      <c r="B12">
        <v>90000</v>
      </c>
      <c r="C12" s="1" t="s">
        <v>33</v>
      </c>
      <c r="D12" s="1" t="s">
        <v>22</v>
      </c>
      <c r="E12" t="s">
        <v>24</v>
      </c>
      <c r="F12" cm="1">
        <f t="array" ref="F12">[1]!'Program:Left_Motor_Program._Left_Motor.Sts_Faulted,L1,C1'</f>
        <v>1</v>
      </c>
    </row>
    <row r="13" spans="1:6" x14ac:dyDescent="0.25">
      <c r="A13" t="s">
        <v>7</v>
      </c>
      <c r="B13">
        <v>-17620.729538384054</v>
      </c>
      <c r="C13" s="2" t="s">
        <v>34</v>
      </c>
      <c r="D13" s="1" t="s">
        <v>21</v>
      </c>
      <c r="E13" t="s">
        <v>25</v>
      </c>
      <c r="F13">
        <f t="array" ref="F13">[1]!'K5100_Left_Motor.Sts_Error_Code,L1,C1'</f>
        <v>0</v>
      </c>
    </row>
    <row r="14" spans="1:6" x14ac:dyDescent="0.25">
      <c r="A14" t="s">
        <v>8</v>
      </c>
      <c r="B14">
        <v>1</v>
      </c>
      <c r="C14" s="1" t="s">
        <v>18</v>
      </c>
      <c r="E14" t="s">
        <v>30</v>
      </c>
      <c r="F14" cm="1">
        <f t="array" ref="F14">[1]!'Program:Left_Motor_Program._Left_Motor.Sts_Active,L1,C1'</f>
        <v>0</v>
      </c>
    </row>
    <row r="15" spans="1:6" x14ac:dyDescent="0.25">
      <c r="A15" t="s">
        <v>26</v>
      </c>
      <c r="B15">
        <v>0</v>
      </c>
      <c r="C15" s="1" t="s">
        <v>18</v>
      </c>
      <c r="E15" t="s">
        <v>31</v>
      </c>
      <c r="F15">
        <f t="array" ref="F15">[1]!'Program:Left_Motor_Program._Left_Motor.Sts_Ready,L1,C1'</f>
        <v>0</v>
      </c>
    </row>
    <row r="16" spans="1:6" x14ac:dyDescent="0.25">
      <c r="A16" t="s">
        <v>27</v>
      </c>
      <c r="B16">
        <v>0</v>
      </c>
      <c r="C16" s="1" t="s">
        <v>18</v>
      </c>
    </row>
    <row r="17" spans="1:3" x14ac:dyDescent="0.25">
      <c r="A17" t="s">
        <v>12</v>
      </c>
      <c r="B17">
        <v>0</v>
      </c>
      <c r="C17" s="1" t="s">
        <v>18</v>
      </c>
    </row>
    <row r="18" spans="1:3" x14ac:dyDescent="0.25">
      <c r="A18" t="s">
        <v>13</v>
      </c>
      <c r="B18">
        <v>0</v>
      </c>
      <c r="C18" s="1" t="s">
        <v>18</v>
      </c>
    </row>
    <row r="19" spans="1:3" x14ac:dyDescent="0.25">
      <c r="A19" t="s">
        <v>14</v>
      </c>
      <c r="B19">
        <v>0</v>
      </c>
      <c r="C19" s="1" t="s">
        <v>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47625</xdr:colOff>
                    <xdr:row>3</xdr:row>
                    <xdr:rowOff>38100</xdr:rowOff>
                  </from>
                  <to>
                    <xdr:col>11</xdr:col>
                    <xdr:colOff>200025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Data">
                <anchor moveWithCells="1" sizeWithCells="1">
                  <from>
                    <xdr:col>8</xdr:col>
                    <xdr:colOff>66675</xdr:colOff>
                    <xdr:row>9</xdr:row>
                    <xdr:rowOff>66675</xdr:rowOff>
                  </from>
                  <to>
                    <xdr:col>11</xdr:col>
                    <xdr:colOff>209550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Williams</dc:creator>
  <cp:lastModifiedBy>p22015group@outlook.com</cp:lastModifiedBy>
  <dcterms:created xsi:type="dcterms:W3CDTF">2022-04-21T17:22:56Z</dcterms:created>
  <dcterms:modified xsi:type="dcterms:W3CDTF">2022-04-23T20:32:28Z</dcterms:modified>
</cp:coreProperties>
</file>